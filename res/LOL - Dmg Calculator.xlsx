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filterPrivacy="1"/>
  <xr:revisionPtr revIDLastSave="0" documentId="13_ncr:1_{D1CEF0AE-02DE-4778-A88C-D8D074AB458F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23" i="1" l="1"/>
  <c r="X23" i="1"/>
  <c r="V23" i="1"/>
  <c r="U23" i="1"/>
  <c r="AA29" i="1"/>
  <c r="Y25" i="1"/>
  <c r="X27" i="1" s="1"/>
  <c r="S21" i="1" l="1"/>
  <c r="T23" i="1" s="1"/>
  <c r="Y23" i="1" s="1"/>
  <c r="Z23" i="1" s="1"/>
  <c r="Y27" i="1"/>
  <c r="M23" i="1"/>
  <c r="L23" i="1"/>
  <c r="K23" i="1"/>
  <c r="J23" i="1"/>
  <c r="N23" i="1" s="1"/>
  <c r="P29" i="1"/>
  <c r="N25" i="1"/>
  <c r="M27" i="1" s="1"/>
  <c r="U9" i="1"/>
  <c r="AA15" i="1"/>
  <c r="X9" i="1"/>
  <c r="W9" i="1"/>
  <c r="P15" i="1"/>
  <c r="N11" i="1"/>
  <c r="M13" i="1" s="1"/>
  <c r="L9" i="1"/>
  <c r="J9" i="1"/>
  <c r="M9" i="1"/>
  <c r="AA23" i="1" l="1"/>
  <c r="H21" i="1"/>
  <c r="I23" i="1" s="1"/>
  <c r="N27" i="1"/>
  <c r="N13" i="1"/>
  <c r="H7" i="1"/>
  <c r="I9" i="1" s="1"/>
  <c r="K9" i="1" s="1"/>
  <c r="O23" i="1" l="1"/>
  <c r="N9" i="1"/>
  <c r="P23" i="1" l="1"/>
  <c r="O9" i="1"/>
  <c r="P9" i="1" s="1"/>
  <c r="V9" i="1"/>
  <c r="Y11" i="1"/>
  <c r="Y13" i="1" s="1"/>
  <c r="S7" i="1" l="1"/>
  <c r="T9" i="1" s="1"/>
  <c r="Y9" i="1" s="1"/>
  <c r="Z9" i="1" s="1"/>
  <c r="X13" i="1"/>
  <c r="AA9" i="1" l="1"/>
</calcChain>
</file>

<file path=xl/sharedStrings.xml><?xml version="1.0" encoding="utf-8"?>
<sst xmlns="http://schemas.openxmlformats.org/spreadsheetml/2006/main" count="76" uniqueCount="28">
  <si>
    <t>Lvl</t>
  </si>
  <si>
    <t>Fury</t>
  </si>
  <si>
    <t>Q</t>
  </si>
  <si>
    <t>W</t>
  </si>
  <si>
    <t>E</t>
  </si>
  <si>
    <t>R</t>
  </si>
  <si>
    <t>Total</t>
  </si>
  <si>
    <t>RENEKTON</t>
  </si>
  <si>
    <t>İgnite</t>
  </si>
  <si>
    <t>STotal</t>
  </si>
  <si>
    <t>A</t>
  </si>
  <si>
    <t>Bonus AD</t>
  </si>
  <si>
    <t>Base AD</t>
  </si>
  <si>
    <t>Armor</t>
  </si>
  <si>
    <t>Ttotal</t>
  </si>
  <si>
    <t>Penet</t>
  </si>
  <si>
    <t>Rün</t>
  </si>
  <si>
    <t>TArmor</t>
  </si>
  <si>
    <t>Stack</t>
  </si>
  <si>
    <t>Count</t>
  </si>
  <si>
    <t>Btotal</t>
  </si>
  <si>
    <t>Gir ve yeşil alanlar otomatik hesaplanır</t>
  </si>
  <si>
    <r>
      <rPr>
        <b/>
        <sz val="14"/>
        <color theme="1"/>
        <rFont val="Calibri"/>
        <family val="2"/>
        <scheme val="minor"/>
      </rPr>
      <t>Btotal</t>
    </r>
    <r>
      <rPr>
        <sz val="14"/>
        <color theme="1"/>
        <rFont val="Calibri"/>
        <family val="2"/>
        <scheme val="minor"/>
      </rPr>
      <t>: Base attack (zırh hesaplanmadan)</t>
    </r>
  </si>
  <si>
    <r>
      <rPr>
        <b/>
        <sz val="14"/>
        <color theme="1"/>
        <rFont val="Calibri"/>
        <family val="2"/>
        <scheme val="minor"/>
      </rPr>
      <t>Ttotal</t>
    </r>
    <r>
      <rPr>
        <sz val="14"/>
        <color theme="1"/>
        <rFont val="Calibri"/>
        <family val="2"/>
        <scheme val="minor"/>
      </rPr>
      <t>: Zırh hesaplanmış</t>
    </r>
  </si>
  <si>
    <r>
      <t>NASUS (</t>
    </r>
    <r>
      <rPr>
        <b/>
        <sz val="11"/>
        <color rgb="FFFF0000"/>
        <rFont val="Calibri"/>
        <family val="2"/>
        <scheme val="minor"/>
      </rPr>
      <t>BETA</t>
    </r>
    <r>
      <rPr>
        <b/>
        <sz val="11"/>
        <color theme="1"/>
        <rFont val="Calibri"/>
        <family val="2"/>
        <scheme val="minor"/>
      </rPr>
      <t>)</t>
    </r>
  </si>
  <si>
    <r>
      <t>VI  (</t>
    </r>
    <r>
      <rPr>
        <b/>
        <sz val="11"/>
        <color rgb="FFFF0000"/>
        <rFont val="Calibri"/>
        <family val="2"/>
        <scheme val="minor"/>
      </rPr>
      <t>BETA</t>
    </r>
    <r>
      <rPr>
        <b/>
        <sz val="11"/>
        <color theme="1"/>
        <rFont val="Calibri"/>
        <family val="2"/>
        <scheme val="minor"/>
      </rPr>
      <t>)</t>
    </r>
  </si>
  <si>
    <t>AP</t>
  </si>
  <si>
    <r>
      <t xml:space="preserve">NAUTİLUS ( </t>
    </r>
    <r>
      <rPr>
        <b/>
        <sz val="11"/>
        <color theme="4"/>
        <rFont val="Calibri"/>
        <family val="2"/>
        <scheme val="minor"/>
      </rPr>
      <t>In progress</t>
    </r>
    <r>
      <rPr>
        <b/>
        <sz val="11"/>
        <color theme="1"/>
        <rFont val="Calibri"/>
        <family val="2"/>
        <scheme val="minor"/>
      </rPr>
      <t xml:space="preserve">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</si>
</sst>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A37"/>
  <sheetViews>
    <sheetView tabSelected="1" workbookViewId="0">
      <selection activeCell="R11" sqref="R11"/>
    </sheetView>
  </sheetViews>
  <sheetFormatPr defaultRowHeight="15" x14ac:dyDescent="0.25"/>
  <cols>
    <col min="1" max="1" width="5.28515625" style="1" customWidth="1"/>
    <col min="2" max="2" width="4" style="1" customWidth="1"/>
    <col min="3" max="3" width="10.42578125" style="1" customWidth="1"/>
    <col min="4" max="4" width="10.5703125" style="1" bestFit="1" customWidth="1"/>
    <col min="5" max="6" width="9.140625" style="1"/>
    <col min="7" max="7" width="10.5703125" style="1" bestFit="1" customWidth="1"/>
    <col min="8" max="16384" width="9.140625" style="1"/>
  </cols>
  <sheetData>
    <row r="4" spans="1:27" ht="15.75" thickBot="1" x14ac:dyDescent="0.3"/>
    <row r="5" spans="1:27" x14ac:dyDescent="0.25">
      <c r="G5" s="22" t="s">
        <v>7</v>
      </c>
      <c r="H5" s="23"/>
      <c r="I5" s="23"/>
      <c r="J5" s="23"/>
      <c r="K5" s="23"/>
      <c r="L5" s="23"/>
      <c r="M5" s="23"/>
      <c r="N5" s="23"/>
      <c r="O5" s="23"/>
      <c r="P5" s="24"/>
      <c r="R5" s="22" t="s">
        <v>24</v>
      </c>
      <c r="S5" s="23"/>
      <c r="T5" s="23"/>
      <c r="U5" s="23"/>
      <c r="V5" s="23"/>
      <c r="W5" s="23"/>
      <c r="X5" s="23"/>
      <c r="Y5" s="23"/>
      <c r="Z5" s="23"/>
      <c r="AA5" s="24"/>
    </row>
    <row r="6" spans="1:27" ht="15.75" thickBot="1" x14ac:dyDescent="0.3">
      <c r="A6" s="2"/>
      <c r="B6" s="2"/>
      <c r="D6" s="2"/>
      <c r="E6" s="2"/>
      <c r="F6" s="3"/>
      <c r="G6" s="25"/>
      <c r="H6" s="26"/>
      <c r="I6" s="26"/>
      <c r="J6" s="26"/>
      <c r="K6" s="26"/>
      <c r="L6" s="26"/>
      <c r="M6" s="26"/>
      <c r="N6" s="26"/>
      <c r="O6" s="26"/>
      <c r="P6" s="27"/>
      <c r="R6" s="25"/>
      <c r="S6" s="26"/>
      <c r="T6" s="26"/>
      <c r="U6" s="26"/>
      <c r="V6" s="26"/>
      <c r="W6" s="26"/>
      <c r="X6" s="26"/>
      <c r="Y6" s="26"/>
      <c r="Z6" s="26"/>
      <c r="AA6" s="27"/>
    </row>
    <row r="7" spans="1:27" x14ac:dyDescent="0.25">
      <c r="G7" s="6" t="s">
        <v>12</v>
      </c>
      <c r="H7" s="15">
        <f>65.25+N11*3.75</f>
        <v>72.75</v>
      </c>
      <c r="I7" s="6" t="s">
        <v>10</v>
      </c>
      <c r="J7" s="6" t="s">
        <v>2</v>
      </c>
      <c r="K7" s="6" t="s">
        <v>3</v>
      </c>
      <c r="L7" s="6" t="s">
        <v>4</v>
      </c>
      <c r="M7" s="6" t="s">
        <v>5</v>
      </c>
      <c r="N7" s="6" t="s">
        <v>20</v>
      </c>
      <c r="O7" s="6" t="s">
        <v>14</v>
      </c>
      <c r="P7" s="6" t="s">
        <v>9</v>
      </c>
      <c r="R7" s="6" t="s">
        <v>12</v>
      </c>
      <c r="S7" s="15">
        <f>65.25+Y11*3.75</f>
        <v>65.25</v>
      </c>
      <c r="T7" s="6" t="s">
        <v>10</v>
      </c>
      <c r="U7" s="6" t="s">
        <v>2</v>
      </c>
      <c r="V7" s="6" t="s">
        <v>3</v>
      </c>
      <c r="W7" s="6" t="s">
        <v>4</v>
      </c>
      <c r="X7" s="6" t="s">
        <v>5</v>
      </c>
      <c r="Y7" s="6" t="s">
        <v>6</v>
      </c>
      <c r="Z7" s="6" t="s">
        <v>9</v>
      </c>
      <c r="AA7" s="6" t="s">
        <v>14</v>
      </c>
    </row>
    <row r="8" spans="1:27" ht="15.75" thickBot="1" x14ac:dyDescent="0.3">
      <c r="G8" s="7"/>
      <c r="H8" s="16"/>
      <c r="I8" s="7"/>
      <c r="J8" s="7"/>
      <c r="K8" s="7"/>
      <c r="L8" s="7"/>
      <c r="M8" s="7"/>
      <c r="N8" s="7"/>
      <c r="O8" s="7"/>
      <c r="P8" s="7"/>
      <c r="R8" s="7"/>
      <c r="S8" s="16"/>
      <c r="T8" s="7"/>
      <c r="U8" s="7"/>
      <c r="V8" s="7"/>
      <c r="W8" s="7"/>
      <c r="X8" s="7"/>
      <c r="Y8" s="7"/>
      <c r="Z8" s="7"/>
      <c r="AA8" s="7"/>
    </row>
    <row r="9" spans="1:27" x14ac:dyDescent="0.25">
      <c r="G9" s="6" t="s">
        <v>11</v>
      </c>
      <c r="H9" s="20">
        <v>25</v>
      </c>
      <c r="I9" s="15">
        <f>H7+H9</f>
        <v>97.75</v>
      </c>
      <c r="J9" s="15">
        <f>IF(J11,IF(J13, 50, 35) + IF(J13,50, 30) *J11 + IF(J13,1.2, 0.8)*H9,0)</f>
        <v>130</v>
      </c>
      <c r="K9" s="15">
        <f>IF(K11,(-5+10*K11+0.75*I9) *IF(K13,3, 2),0)</f>
        <v>156.625</v>
      </c>
      <c r="L9" s="15">
        <f>IF(L11, 10 + 30 * L11 + 0.9 * H9 + IF(L13, 25, 10) + IF(L13, 45, 30) * L11 + IF(L13, 1.35, 0.9)*H9, 0)</f>
        <v>0</v>
      </c>
      <c r="M9" s="15" t="str">
        <f>IF(M11, _xlfn.CONCAT(250*M11, " HP"), _xlfn.CONCAT("Yok"))</f>
        <v>Yok</v>
      </c>
      <c r="N9" s="15">
        <f>I9*I11 + J9+K9+L9</f>
        <v>286.625</v>
      </c>
      <c r="O9" s="15">
        <f>IF(P15&gt;=0,(100/(100+P15)*N9),(2 - 100/(100 -(P15))) * N9)</f>
        <v>143.3125</v>
      </c>
      <c r="P9" s="15">
        <f>O9+M13+N13</f>
        <v>283.3125</v>
      </c>
      <c r="R9" s="6" t="s">
        <v>11</v>
      </c>
      <c r="S9" s="20">
        <v>0</v>
      </c>
      <c r="T9" s="15">
        <f>S7+S9</f>
        <v>65.25</v>
      </c>
      <c r="U9" s="15">
        <f>10 + 20 *U11</f>
        <v>10</v>
      </c>
      <c r="V9" s="15" t="str">
        <f>_xlfn.CONCAT("%", (35 + 12* V11))</f>
        <v>%35</v>
      </c>
      <c r="W9" s="15">
        <f>IF(W11, 10 + 30 * W11 + 0.9 * S9 + IF(W13, 25, 10) + IF(W13, 45, 30) * W11 + IF(W13, 1.35, 0.9)*S9, 0)</f>
        <v>0</v>
      </c>
      <c r="X9" s="15" t="str">
        <f>IF(X11, _xlfn.CONCAT(250*X11, " HP"), _xlfn.CONCAT("Yok"))</f>
        <v>Yok</v>
      </c>
      <c r="Y9" s="15">
        <f>T9*T11 + U9+V9+W9</f>
        <v>75.599999999999994</v>
      </c>
      <c r="Z9" s="15">
        <f>Y9+X13+Y13</f>
        <v>155.6</v>
      </c>
      <c r="AA9" s="15">
        <f>IF(AA15&gt;=0,(100/(100+AA15)*Y9),(2 - 100/(100 -(AA15))) * Y9)</f>
        <v>50.399999999999991</v>
      </c>
    </row>
    <row r="10" spans="1:27" ht="15.75" thickBot="1" x14ac:dyDescent="0.3">
      <c r="G10" s="7"/>
      <c r="H10" s="21"/>
      <c r="I10" s="16"/>
      <c r="J10" s="16"/>
      <c r="K10" s="16"/>
      <c r="L10" s="16"/>
      <c r="M10" s="16"/>
      <c r="N10" s="16"/>
      <c r="O10" s="19"/>
      <c r="P10" s="19"/>
      <c r="R10" s="7"/>
      <c r="S10" s="21"/>
      <c r="T10" s="16"/>
      <c r="U10" s="16"/>
      <c r="V10" s="16"/>
      <c r="W10" s="16"/>
      <c r="X10" s="16"/>
      <c r="Y10" s="16"/>
      <c r="Z10" s="19"/>
      <c r="AA10" s="19"/>
    </row>
    <row r="11" spans="1:27" ht="15.75" thickBot="1" x14ac:dyDescent="0.3">
      <c r="H11" s="6" t="s">
        <v>0</v>
      </c>
      <c r="I11" s="20">
        <v>0</v>
      </c>
      <c r="J11" s="20">
        <v>1</v>
      </c>
      <c r="K11" s="20">
        <v>1</v>
      </c>
      <c r="L11" s="20">
        <v>0</v>
      </c>
      <c r="M11" s="20">
        <v>0</v>
      </c>
      <c r="N11" s="17">
        <f>J11+K11+L11+M11</f>
        <v>2</v>
      </c>
      <c r="O11" s="4" t="s">
        <v>13</v>
      </c>
      <c r="P11" s="5">
        <v>100</v>
      </c>
      <c r="S11" s="6" t="s">
        <v>0</v>
      </c>
      <c r="T11" s="20">
        <v>1</v>
      </c>
      <c r="U11" s="20">
        <v>0</v>
      </c>
      <c r="V11" s="20">
        <v>0</v>
      </c>
      <c r="W11" s="20">
        <v>0</v>
      </c>
      <c r="X11" s="20">
        <v>0</v>
      </c>
      <c r="Y11" s="17">
        <f>U11+V11+W11+X11</f>
        <v>0</v>
      </c>
      <c r="Z11" s="4" t="s">
        <v>13</v>
      </c>
      <c r="AA11" s="5">
        <v>50</v>
      </c>
    </row>
    <row r="12" spans="1:27" ht="15.75" thickBot="1" x14ac:dyDescent="0.3">
      <c r="H12" s="7"/>
      <c r="I12" s="21"/>
      <c r="J12" s="21"/>
      <c r="K12" s="21"/>
      <c r="L12" s="21"/>
      <c r="M12" s="21"/>
      <c r="N12" s="18"/>
      <c r="O12" s="4"/>
      <c r="P12" s="5"/>
      <c r="S12" s="7"/>
      <c r="T12" s="21"/>
      <c r="U12" s="21"/>
      <c r="V12" s="21"/>
      <c r="W12" s="21"/>
      <c r="X12" s="21"/>
      <c r="Y12" s="18"/>
      <c r="Z12" s="4"/>
      <c r="AA12" s="5"/>
    </row>
    <row r="13" spans="1:27" ht="15.75" thickBot="1" x14ac:dyDescent="0.3">
      <c r="I13" s="6" t="s">
        <v>1</v>
      </c>
      <c r="J13" s="11">
        <v>1</v>
      </c>
      <c r="K13" s="11">
        <v>0</v>
      </c>
      <c r="L13" s="11">
        <v>0</v>
      </c>
      <c r="M13" s="15">
        <f>50 + 20 *N11</f>
        <v>90</v>
      </c>
      <c r="N13" s="17">
        <f>30 + 10 *N11</f>
        <v>50</v>
      </c>
      <c r="O13" s="4" t="s">
        <v>15</v>
      </c>
      <c r="P13" s="5">
        <v>0</v>
      </c>
      <c r="T13" s="6" t="s">
        <v>18</v>
      </c>
      <c r="U13" s="28">
        <v>0</v>
      </c>
      <c r="V13" s="11">
        <v>1</v>
      </c>
      <c r="W13" s="11">
        <v>0</v>
      </c>
      <c r="X13" s="15">
        <f>50 + 20 *Y11</f>
        <v>50</v>
      </c>
      <c r="Y13" s="17">
        <f>30 + 10 *Y11</f>
        <v>30</v>
      </c>
      <c r="Z13" s="4" t="s">
        <v>15</v>
      </c>
      <c r="AA13" s="5">
        <v>0</v>
      </c>
    </row>
    <row r="14" spans="1:27" ht="15.75" thickBot="1" x14ac:dyDescent="0.3">
      <c r="I14" s="7"/>
      <c r="J14" s="12"/>
      <c r="K14" s="12"/>
      <c r="L14" s="12"/>
      <c r="M14" s="16"/>
      <c r="N14" s="18"/>
      <c r="O14" s="4"/>
      <c r="P14" s="5"/>
      <c r="T14" s="7"/>
      <c r="U14" s="29"/>
      <c r="V14" s="12"/>
      <c r="W14" s="12"/>
      <c r="X14" s="16"/>
      <c r="Y14" s="18"/>
      <c r="Z14" s="4"/>
      <c r="AA14" s="5"/>
    </row>
    <row r="15" spans="1:27" ht="15.75" thickBot="1" x14ac:dyDescent="0.3">
      <c r="M15" s="6" t="s">
        <v>8</v>
      </c>
      <c r="N15" s="8" t="s">
        <v>16</v>
      </c>
      <c r="O15" s="4" t="s">
        <v>17</v>
      </c>
      <c r="P15" s="10">
        <f>P11-P13</f>
        <v>100</v>
      </c>
      <c r="X15" s="6" t="s">
        <v>8</v>
      </c>
      <c r="Y15" s="8" t="s">
        <v>16</v>
      </c>
      <c r="Z15" s="4" t="s">
        <v>17</v>
      </c>
      <c r="AA15" s="10">
        <f>AA11-AA13</f>
        <v>50</v>
      </c>
    </row>
    <row r="16" spans="1:27" ht="15.75" thickBot="1" x14ac:dyDescent="0.3">
      <c r="M16" s="7"/>
      <c r="N16" s="9"/>
      <c r="O16" s="4"/>
      <c r="P16" s="10"/>
      <c r="X16" s="7"/>
      <c r="Y16" s="9"/>
      <c r="Z16" s="4"/>
      <c r="AA16" s="10"/>
    </row>
    <row r="18" spans="7:27" ht="15.75" thickBot="1" x14ac:dyDescent="0.3"/>
    <row r="19" spans="7:27" x14ac:dyDescent="0.25">
      <c r="G19" s="22" t="s">
        <v>25</v>
      </c>
      <c r="H19" s="23"/>
      <c r="I19" s="23"/>
      <c r="J19" s="23"/>
      <c r="K19" s="23"/>
      <c r="L19" s="23"/>
      <c r="M19" s="23"/>
      <c r="N19" s="23"/>
      <c r="O19" s="23"/>
      <c r="P19" s="24"/>
      <c r="R19" s="22" t="s">
        <v>27</v>
      </c>
      <c r="S19" s="23"/>
      <c r="T19" s="23"/>
      <c r="U19" s="23"/>
      <c r="V19" s="23"/>
      <c r="W19" s="23"/>
      <c r="X19" s="23"/>
      <c r="Y19" s="23"/>
      <c r="Z19" s="23"/>
      <c r="AA19" s="24"/>
    </row>
    <row r="20" spans="7:27" ht="15.75" thickBot="1" x14ac:dyDescent="0.3">
      <c r="G20" s="25"/>
      <c r="H20" s="26"/>
      <c r="I20" s="26"/>
      <c r="J20" s="26"/>
      <c r="K20" s="26"/>
      <c r="L20" s="26"/>
      <c r="M20" s="26"/>
      <c r="N20" s="26"/>
      <c r="O20" s="26"/>
      <c r="P20" s="27"/>
      <c r="R20" s="25"/>
      <c r="S20" s="26"/>
      <c r="T20" s="26"/>
      <c r="U20" s="26"/>
      <c r="V20" s="26"/>
      <c r="W20" s="26"/>
      <c r="X20" s="26"/>
      <c r="Y20" s="26"/>
      <c r="Z20" s="26"/>
      <c r="AA20" s="27"/>
    </row>
    <row r="21" spans="7:27" x14ac:dyDescent="0.25">
      <c r="G21" s="6" t="s">
        <v>12</v>
      </c>
      <c r="H21" s="15">
        <f>65.25+N25*3.75</f>
        <v>69</v>
      </c>
      <c r="I21" s="6" t="s">
        <v>10</v>
      </c>
      <c r="J21" s="6" t="s">
        <v>2</v>
      </c>
      <c r="K21" s="6" t="s">
        <v>3</v>
      </c>
      <c r="L21" s="6" t="s">
        <v>4</v>
      </c>
      <c r="M21" s="6" t="s">
        <v>5</v>
      </c>
      <c r="N21" s="6" t="s">
        <v>6</v>
      </c>
      <c r="O21" s="6" t="s">
        <v>9</v>
      </c>
      <c r="P21" s="6" t="s">
        <v>14</v>
      </c>
      <c r="R21" s="6" t="s">
        <v>12</v>
      </c>
      <c r="S21" s="15">
        <f>61+Y25*3.3</f>
        <v>67.599999999999994</v>
      </c>
      <c r="T21" s="6" t="s">
        <v>10</v>
      </c>
      <c r="U21" s="6" t="s">
        <v>2</v>
      </c>
      <c r="V21" s="6" t="s">
        <v>3</v>
      </c>
      <c r="W21" s="6" t="s">
        <v>4</v>
      </c>
      <c r="X21" s="6" t="s">
        <v>5</v>
      </c>
      <c r="Y21" s="6" t="s">
        <v>20</v>
      </c>
      <c r="Z21" s="6" t="s">
        <v>14</v>
      </c>
      <c r="AA21" s="6" t="s">
        <v>9</v>
      </c>
    </row>
    <row r="22" spans="7:27" ht="15.75" thickBot="1" x14ac:dyDescent="0.3">
      <c r="G22" s="7"/>
      <c r="H22" s="16"/>
      <c r="I22" s="7"/>
      <c r="J22" s="7"/>
      <c r="K22" s="7"/>
      <c r="L22" s="7"/>
      <c r="M22" s="7"/>
      <c r="N22" s="7"/>
      <c r="O22" s="7"/>
      <c r="P22" s="7"/>
      <c r="R22" s="7"/>
      <c r="S22" s="16"/>
      <c r="T22" s="7"/>
      <c r="U22" s="7"/>
      <c r="V22" s="7"/>
      <c r="W22" s="7"/>
      <c r="X22" s="7"/>
      <c r="Y22" s="7"/>
      <c r="Z22" s="7"/>
      <c r="AA22" s="7"/>
    </row>
    <row r="23" spans="7:27" x14ac:dyDescent="0.25">
      <c r="G23" s="6" t="s">
        <v>11</v>
      </c>
      <c r="H23" s="20">
        <v>0</v>
      </c>
      <c r="I23" s="15">
        <f>H21+H23</f>
        <v>69</v>
      </c>
      <c r="J23" s="15">
        <f>IF(J25, 30 + 25 *J25 + 0.8 *H23, 0)</f>
        <v>55</v>
      </c>
      <c r="K23" s="15">
        <f xml:space="preserve"> IF(K25, 2.5 + 1.5 * K25 + (1 * H23 / 35), 0)</f>
        <v>0</v>
      </c>
      <c r="L23" s="15">
        <f xml:space="preserve"> IF(L25,- 10 + 20 * L25 + 1.1 * I23,0)</f>
        <v>0</v>
      </c>
      <c r="M23" s="15">
        <f xml:space="preserve"> IF(M25, -25 + 175 * M25 + 1.1 * H23, 0)</f>
        <v>0</v>
      </c>
      <c r="N23" s="15">
        <f>J23+L23 * L27 + M23</f>
        <v>55</v>
      </c>
      <c r="O23" s="15">
        <f>N23+M27+N27</f>
        <v>165</v>
      </c>
      <c r="P23" s="15">
        <f>IF(P29&gt;=0,(100/(100+P29)*N23),(2 - 100/(100 -(P29))) * N23)</f>
        <v>42.307692307692307</v>
      </c>
      <c r="R23" s="6" t="s">
        <v>11</v>
      </c>
      <c r="S23" s="20">
        <v>25</v>
      </c>
      <c r="T23" s="15">
        <f>S21+S23</f>
        <v>92.6</v>
      </c>
      <c r="U23" s="15">
        <f>80+(50 * (U25-1)) + 0.9*S27</f>
        <v>80</v>
      </c>
      <c r="V23" s="15">
        <f>55 + (30 * (V25 - 1 )) * V27</f>
        <v>55</v>
      </c>
      <c r="W23" s="15">
        <f>IF(W25, 55 + (30 * (W27 - 1 )) * V27, 0)</f>
        <v>55</v>
      </c>
      <c r="X23" s="15">
        <f>IF(X25, 125 + 50 * (X25 -1), 0)</f>
        <v>0</v>
      </c>
      <c r="Y23" s="15">
        <f>T23*T25 + U23+V23+W23</f>
        <v>190</v>
      </c>
      <c r="Z23" s="15">
        <f>IF(AA29&gt;=0,(100/(100+AA29)*Y23),(2 - 100/(100 -(AA29))) * Y23)</f>
        <v>95</v>
      </c>
      <c r="AA23" s="15">
        <f>Z23+X27+Y27</f>
        <v>235</v>
      </c>
    </row>
    <row r="24" spans="7:27" ht="15.75" thickBot="1" x14ac:dyDescent="0.3">
      <c r="G24" s="7"/>
      <c r="H24" s="21"/>
      <c r="I24" s="16"/>
      <c r="J24" s="16"/>
      <c r="K24" s="16"/>
      <c r="L24" s="16"/>
      <c r="M24" s="16"/>
      <c r="N24" s="16"/>
      <c r="O24" s="19"/>
      <c r="P24" s="19"/>
      <c r="R24" s="7"/>
      <c r="S24" s="21"/>
      <c r="T24" s="16"/>
      <c r="U24" s="16"/>
      <c r="V24" s="16"/>
      <c r="W24" s="16"/>
      <c r="X24" s="16"/>
      <c r="Y24" s="16"/>
      <c r="Z24" s="19"/>
      <c r="AA24" s="19"/>
    </row>
    <row r="25" spans="7:27" ht="15.75" thickBot="1" x14ac:dyDescent="0.3">
      <c r="H25" s="6" t="s">
        <v>0</v>
      </c>
      <c r="I25" s="20">
        <v>1</v>
      </c>
      <c r="J25" s="20">
        <v>1</v>
      </c>
      <c r="K25" s="20">
        <v>0</v>
      </c>
      <c r="L25" s="20">
        <v>0</v>
      </c>
      <c r="M25" s="20">
        <v>0</v>
      </c>
      <c r="N25" s="17">
        <f>J25+K25+L25+M25</f>
        <v>1</v>
      </c>
      <c r="O25" s="4" t="s">
        <v>13</v>
      </c>
      <c r="P25" s="5">
        <v>50</v>
      </c>
      <c r="S25" s="6" t="s">
        <v>0</v>
      </c>
      <c r="T25" s="20">
        <v>0</v>
      </c>
      <c r="U25" s="20">
        <v>1</v>
      </c>
      <c r="V25" s="20">
        <v>0</v>
      </c>
      <c r="W25" s="20">
        <v>1</v>
      </c>
      <c r="X25" s="20">
        <v>0</v>
      </c>
      <c r="Y25" s="17">
        <f>U25+V25+W25+X25</f>
        <v>2</v>
      </c>
      <c r="Z25" s="4" t="s">
        <v>13</v>
      </c>
      <c r="AA25" s="5">
        <v>100</v>
      </c>
    </row>
    <row r="26" spans="7:27" ht="15.75" thickBot="1" x14ac:dyDescent="0.3">
      <c r="H26" s="7"/>
      <c r="I26" s="21"/>
      <c r="J26" s="21"/>
      <c r="K26" s="21"/>
      <c r="L26" s="21"/>
      <c r="M26" s="21"/>
      <c r="N26" s="18"/>
      <c r="O26" s="4"/>
      <c r="P26" s="5"/>
      <c r="S26" s="7"/>
      <c r="T26" s="21"/>
      <c r="U26" s="21"/>
      <c r="V26" s="21"/>
      <c r="W26" s="21"/>
      <c r="X26" s="21"/>
      <c r="Y26" s="18"/>
      <c r="Z26" s="4"/>
      <c r="AA26" s="5"/>
    </row>
    <row r="27" spans="7:27" ht="15.75" thickBot="1" x14ac:dyDescent="0.3">
      <c r="I27" s="6" t="s">
        <v>19</v>
      </c>
      <c r="J27" s="11">
        <v>0</v>
      </c>
      <c r="K27" s="13">
        <v>1</v>
      </c>
      <c r="L27" s="13">
        <v>2</v>
      </c>
      <c r="M27" s="15">
        <f>50 + 20 *N25</f>
        <v>70</v>
      </c>
      <c r="N27" s="17">
        <f>30 + 10 *N25</f>
        <v>40</v>
      </c>
      <c r="O27" s="4" t="s">
        <v>15</v>
      </c>
      <c r="P27" s="5">
        <v>20</v>
      </c>
      <c r="R27" s="6" t="s">
        <v>26</v>
      </c>
      <c r="S27" s="20">
        <v>0</v>
      </c>
      <c r="T27" s="6" t="s">
        <v>1</v>
      </c>
      <c r="U27" s="11">
        <v>0</v>
      </c>
      <c r="V27" s="11">
        <v>0</v>
      </c>
      <c r="W27" s="11">
        <v>1</v>
      </c>
      <c r="X27" s="15">
        <f>50 + 20 *Y25</f>
        <v>90</v>
      </c>
      <c r="Y27" s="17">
        <f>30 + 10 *Y25</f>
        <v>50</v>
      </c>
      <c r="Z27" s="4" t="s">
        <v>15</v>
      </c>
      <c r="AA27" s="5">
        <v>0</v>
      </c>
    </row>
    <row r="28" spans="7:27" ht="15.75" thickBot="1" x14ac:dyDescent="0.3">
      <c r="I28" s="7"/>
      <c r="J28" s="12"/>
      <c r="K28" s="14"/>
      <c r="L28" s="14"/>
      <c r="M28" s="16"/>
      <c r="N28" s="18"/>
      <c r="O28" s="4"/>
      <c r="P28" s="5"/>
      <c r="R28" s="7"/>
      <c r="S28" s="21"/>
      <c r="T28" s="7"/>
      <c r="U28" s="12"/>
      <c r="V28" s="12"/>
      <c r="W28" s="12"/>
      <c r="X28" s="16"/>
      <c r="Y28" s="18"/>
      <c r="Z28" s="4"/>
      <c r="AA28" s="5"/>
    </row>
    <row r="29" spans="7:27" ht="15.75" thickBot="1" x14ac:dyDescent="0.3">
      <c r="M29" s="6" t="s">
        <v>8</v>
      </c>
      <c r="N29" s="8" t="s">
        <v>16</v>
      </c>
      <c r="O29" s="4" t="s">
        <v>17</v>
      </c>
      <c r="P29" s="10">
        <f>P25-P27</f>
        <v>30</v>
      </c>
      <c r="X29" s="6" t="s">
        <v>8</v>
      </c>
      <c r="Y29" s="8" t="s">
        <v>16</v>
      </c>
      <c r="Z29" s="4" t="s">
        <v>17</v>
      </c>
      <c r="AA29" s="10">
        <f>AA25-AA27</f>
        <v>100</v>
      </c>
    </row>
    <row r="30" spans="7:27" ht="15.75" thickBot="1" x14ac:dyDescent="0.3">
      <c r="M30" s="7"/>
      <c r="N30" s="9"/>
      <c r="O30" s="4"/>
      <c r="P30" s="10"/>
      <c r="X30" s="7"/>
      <c r="Y30" s="9"/>
      <c r="Z30" s="4"/>
      <c r="AA30" s="10"/>
    </row>
    <row r="34" spans="5:16" ht="18.75" customHeight="1" x14ac:dyDescent="0.25"/>
    <row r="35" spans="5:16" ht="18.75" customHeight="1" x14ac:dyDescent="0.25">
      <c r="E35" s="30" t="s">
        <v>21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</row>
    <row r="36" spans="5:16" ht="18.75" customHeight="1" x14ac:dyDescent="0.25">
      <c r="E36" s="30" t="s">
        <v>22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</row>
    <row r="37" spans="5:16" ht="18.75" x14ac:dyDescent="0.25">
      <c r="E37" s="30" t="s">
        <v>23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</row>
  </sheetData>
  <mergeCells count="173">
    <mergeCell ref="AA27:AA28"/>
    <mergeCell ref="X29:X30"/>
    <mergeCell ref="Y29:Y30"/>
    <mergeCell ref="Z29:Z30"/>
    <mergeCell ref="AA29:AA30"/>
    <mergeCell ref="R27:R28"/>
    <mergeCell ref="S27:S28"/>
    <mergeCell ref="AA23:AA24"/>
    <mergeCell ref="S25:S26"/>
    <mergeCell ref="T25:T26"/>
    <mergeCell ref="U25:U26"/>
    <mergeCell ref="V25:V26"/>
    <mergeCell ref="W25:W26"/>
    <mergeCell ref="X25:X26"/>
    <mergeCell ref="Y25:Y26"/>
    <mergeCell ref="Z25:Z26"/>
    <mergeCell ref="AA25:AA26"/>
    <mergeCell ref="R23:R24"/>
    <mergeCell ref="S23:S24"/>
    <mergeCell ref="T23:T24"/>
    <mergeCell ref="U23:U24"/>
    <mergeCell ref="V23:V24"/>
    <mergeCell ref="W23:W24"/>
    <mergeCell ref="X23:X24"/>
    <mergeCell ref="Y23:Y24"/>
    <mergeCell ref="Z23:Z24"/>
    <mergeCell ref="R19:AA20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E35:P35"/>
    <mergeCell ref="E36:P36"/>
    <mergeCell ref="E37:P37"/>
    <mergeCell ref="O7:O8"/>
    <mergeCell ref="O9:O10"/>
    <mergeCell ref="G5:P6"/>
    <mergeCell ref="M15:M16"/>
    <mergeCell ref="P7:P8"/>
    <mergeCell ref="P9:P10"/>
    <mergeCell ref="H9:H10"/>
    <mergeCell ref="I7:I8"/>
    <mergeCell ref="I13:I14"/>
    <mergeCell ref="I9:I10"/>
    <mergeCell ref="H7:H8"/>
    <mergeCell ref="G7:G8"/>
    <mergeCell ref="I11:I12"/>
    <mergeCell ref="J9:J10"/>
    <mergeCell ref="K9:K10"/>
    <mergeCell ref="L9:L10"/>
    <mergeCell ref="M9:M10"/>
    <mergeCell ref="N9:N10"/>
    <mergeCell ref="J7:J8"/>
    <mergeCell ref="K7:K8"/>
    <mergeCell ref="L7:L8"/>
    <mergeCell ref="M7:M8"/>
    <mergeCell ref="N7:N8"/>
    <mergeCell ref="N11:N12"/>
    <mergeCell ref="O13:O14"/>
    <mergeCell ref="P13:P14"/>
    <mergeCell ref="O15:O16"/>
    <mergeCell ref="P15:P16"/>
    <mergeCell ref="O11:O12"/>
    <mergeCell ref="N15:N16"/>
    <mergeCell ref="N13:N14"/>
    <mergeCell ref="G9:G10"/>
    <mergeCell ref="P11:P12"/>
    <mergeCell ref="J13:J14"/>
    <mergeCell ref="K13:K14"/>
    <mergeCell ref="L13:L14"/>
    <mergeCell ref="M13:M14"/>
    <mergeCell ref="H11:H12"/>
    <mergeCell ref="J11:J12"/>
    <mergeCell ref="K11:K12"/>
    <mergeCell ref="L11:L12"/>
    <mergeCell ref="M11:M12"/>
    <mergeCell ref="R5:AA6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Z13:Z14"/>
    <mergeCell ref="AA13:AA14"/>
    <mergeCell ref="X15:X16"/>
    <mergeCell ref="Y15:Y16"/>
    <mergeCell ref="Z15:Z16"/>
    <mergeCell ref="AA15:AA16"/>
    <mergeCell ref="T13:T14"/>
    <mergeCell ref="U13:U14"/>
    <mergeCell ref="V13:V14"/>
    <mergeCell ref="W13:W14"/>
    <mergeCell ref="X13:X14"/>
    <mergeCell ref="Y13:Y14"/>
    <mergeCell ref="G19:P20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G23:G24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O27:O28"/>
    <mergeCell ref="P27:P28"/>
    <mergeCell ref="M29:M30"/>
    <mergeCell ref="N29:N30"/>
    <mergeCell ref="O29:O30"/>
    <mergeCell ref="P29:P30"/>
    <mergeCell ref="I27:I28"/>
    <mergeCell ref="J27:J28"/>
    <mergeCell ref="K27:K28"/>
    <mergeCell ref="L27:L28"/>
    <mergeCell ref="M27:M28"/>
    <mergeCell ref="N27:N28"/>
    <mergeCell ref="T27:T28"/>
    <mergeCell ref="U27:U28"/>
    <mergeCell ref="V27:V28"/>
    <mergeCell ref="W27:W28"/>
    <mergeCell ref="X27:X28"/>
    <mergeCell ref="Y27:Y28"/>
    <mergeCell ref="Z27:Z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2019-08-29T18:05:57Z</dcterms:modified>
</cp:coreProperties>
</file>
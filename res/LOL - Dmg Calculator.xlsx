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730"/>
  <workbookPr filterPrivacy="1"/>
  <xr:revisionPtr revIDLastSave="0" documentId="13_ncr:1_{2FB3F53C-3EFF-4F55-A190-CD4630F6237E}" xr6:coauthVersionLast="36" xr6:coauthVersionMax="36" xr10:uidLastSave="{00000000-0000-0000-0000-000000000000}"/>
  <bookViews>
    <workbookView xWindow="0" yWindow="0" windowWidth="22260" windowHeight="1264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N23" i="1" l="1"/>
  <c r="M23" i="1"/>
  <c r="L23" i="1"/>
  <c r="K23" i="1"/>
  <c r="J23" i="1"/>
  <c r="P29" i="1"/>
  <c r="N25" i="1"/>
  <c r="M27" i="1" s="1"/>
  <c r="U9" i="1"/>
  <c r="AA15" i="1"/>
  <c r="X9" i="1"/>
  <c r="W9" i="1"/>
  <c r="P15" i="1"/>
  <c r="N11" i="1"/>
  <c r="M13" i="1" s="1"/>
  <c r="L9" i="1"/>
  <c r="J9" i="1"/>
  <c r="M9" i="1"/>
  <c r="H21" i="1" l="1"/>
  <c r="I23" i="1" s="1"/>
  <c r="N27" i="1"/>
  <c r="N13" i="1"/>
  <c r="H7" i="1"/>
  <c r="I9" i="1" s="1"/>
  <c r="K9" i="1" s="1"/>
  <c r="O23" i="1" l="1"/>
  <c r="N9" i="1"/>
  <c r="P23" i="1" l="1"/>
  <c r="O9" i="1"/>
  <c r="P9" i="1" s="1"/>
  <c r="V9" i="1"/>
  <c r="Y11" i="1"/>
  <c r="Y13" i="1" s="1"/>
  <c r="S7" i="1" l="1"/>
  <c r="T9" i="1" s="1"/>
  <c r="Y9" i="1"/>
  <c r="Z9" i="1" s="1"/>
  <c r="X13" i="1"/>
  <c r="AA9" i="1" l="1"/>
</calcChain>
</file>

<file path=xl/sharedStrings.xml><?xml version="1.0" encoding="utf-8"?>
<sst xmlns="http://schemas.openxmlformats.org/spreadsheetml/2006/main" count="58" uniqueCount="27">
  <si>
    <t>Lvl</t>
  </si>
  <si>
    <t>Fury</t>
  </si>
  <si>
    <t>Q</t>
  </si>
  <si>
    <t>W</t>
  </si>
  <si>
    <t>E</t>
  </si>
  <si>
    <t>R</t>
  </si>
  <si>
    <t>Total</t>
  </si>
  <si>
    <t>RENEKTON</t>
  </si>
  <si>
    <t>İgnite</t>
  </si>
  <si>
    <t>STotal</t>
  </si>
  <si>
    <t>A</t>
  </si>
  <si>
    <t>Bonus AD</t>
  </si>
  <si>
    <t>Base AD</t>
  </si>
  <si>
    <t>Armor</t>
  </si>
  <si>
    <t>Ttotal</t>
  </si>
  <si>
    <t>Penet</t>
  </si>
  <si>
    <t>Rün</t>
  </si>
  <si>
    <t>TArmor</t>
  </si>
  <si>
    <t>Stack</t>
  </si>
  <si>
    <t>Count</t>
  </si>
  <si>
    <t>Btotal</t>
  </si>
  <si>
    <t>Gir ve yeşil alanlar otomatik hesaplanır</t>
  </si>
  <si>
    <r>
      <rPr>
        <b/>
        <sz val="14"/>
        <color theme="1"/>
        <rFont val="Calibri"/>
        <family val="2"/>
        <scheme val="minor"/>
      </rPr>
      <t>Btotal</t>
    </r>
    <r>
      <rPr>
        <sz val="14"/>
        <color theme="1"/>
        <rFont val="Calibri"/>
        <family val="2"/>
        <scheme val="minor"/>
      </rPr>
      <t>: Base attack (zırh hesaplanmadan)</t>
    </r>
  </si>
  <si>
    <r>
      <rPr>
        <b/>
        <sz val="14"/>
        <color theme="1"/>
        <rFont val="Calibri"/>
        <family val="2"/>
        <scheme val="minor"/>
      </rPr>
      <t>Ttotal</t>
    </r>
    <r>
      <rPr>
        <sz val="14"/>
        <color theme="1"/>
        <rFont val="Calibri"/>
        <family val="2"/>
        <scheme val="minor"/>
      </rPr>
      <t>: Zırh hesaplanmış</t>
    </r>
  </si>
  <si>
    <r>
      <t>NASUS (</t>
    </r>
    <r>
      <rPr>
        <b/>
        <sz val="11"/>
        <color rgb="FFFF0000"/>
        <rFont val="Calibri"/>
        <family val="2"/>
        <scheme val="minor"/>
      </rPr>
      <t>BETA</t>
    </r>
    <r>
      <rPr>
        <b/>
        <sz val="11"/>
        <color theme="1"/>
        <rFont val="Calibri"/>
        <family val="2"/>
        <scheme val="minor"/>
      </rPr>
      <t>)</t>
    </r>
  </si>
  <si>
    <r>
      <t>VI  (</t>
    </r>
    <r>
      <rPr>
        <b/>
        <sz val="11"/>
        <color rgb="FFFF0000"/>
        <rFont val="Calibri"/>
        <family val="2"/>
        <scheme val="minor"/>
      </rPr>
      <t>BETA</t>
    </r>
    <r>
      <rPr>
        <b/>
        <sz val="11"/>
        <color theme="1"/>
        <rFont val="Calibri"/>
        <family val="2"/>
        <scheme val="minor"/>
      </rPr>
      <t>)</t>
    </r>
  </si>
  <si>
    <t>Yunus Emre Ak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</si>
</sst>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11" xfId="0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6" borderId="8" xfId="0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AA37"/>
  <sheetViews>
    <sheetView tabSelected="1" topLeftCell="A4" workbookViewId="0">
      <selection activeCell="AA21" sqref="AA21"/>
    </sheetView>
  </sheetViews>
  <sheetFormatPr defaultRowHeight="15" x14ac:dyDescent="0.25"/>
  <cols>
    <col min="1" max="1" width="5.28515625" style="1" customWidth="1"/>
    <col min="2" max="2" width="4" style="1" customWidth="1"/>
    <col min="3" max="3" width="10.42578125" style="1" customWidth="1"/>
    <col min="4" max="4" width="10.5703125" style="1" bestFit="1" customWidth="1"/>
    <col min="5" max="6" width="9.140625" style="1"/>
    <col min="7" max="7" width="10.5703125" style="1" bestFit="1" customWidth="1"/>
    <col min="8" max="16384" width="9.140625" style="1"/>
  </cols>
  <sheetData>
    <row r="4" spans="1:27" ht="15.75" thickBot="1" x14ac:dyDescent="0.3"/>
    <row r="5" spans="1:27" x14ac:dyDescent="0.25">
      <c r="G5" s="9" t="s">
        <v>7</v>
      </c>
      <c r="H5" s="10"/>
      <c r="I5" s="10"/>
      <c r="J5" s="10"/>
      <c r="K5" s="10"/>
      <c r="L5" s="10"/>
      <c r="M5" s="10"/>
      <c r="N5" s="10"/>
      <c r="O5" s="10"/>
      <c r="P5" s="11"/>
      <c r="R5" s="9" t="s">
        <v>24</v>
      </c>
      <c r="S5" s="10"/>
      <c r="T5" s="10"/>
      <c r="U5" s="10"/>
      <c r="V5" s="10"/>
      <c r="W5" s="10"/>
      <c r="X5" s="10"/>
      <c r="Y5" s="10"/>
      <c r="Z5" s="10"/>
      <c r="AA5" s="11"/>
    </row>
    <row r="6" spans="1:27" ht="15.75" thickBot="1" x14ac:dyDescent="0.3">
      <c r="A6" s="2"/>
      <c r="B6" s="2"/>
      <c r="D6" s="2"/>
      <c r="E6" s="2"/>
      <c r="F6" s="3"/>
      <c r="G6" s="12"/>
      <c r="H6" s="13"/>
      <c r="I6" s="13"/>
      <c r="J6" s="13"/>
      <c r="K6" s="13"/>
      <c r="L6" s="13"/>
      <c r="M6" s="13"/>
      <c r="N6" s="13"/>
      <c r="O6" s="13"/>
      <c r="P6" s="14"/>
      <c r="R6" s="12"/>
      <c r="S6" s="13"/>
      <c r="T6" s="13"/>
      <c r="U6" s="13"/>
      <c r="V6" s="13"/>
      <c r="W6" s="13"/>
      <c r="X6" s="13"/>
      <c r="Y6" s="13"/>
      <c r="Z6" s="13"/>
      <c r="AA6" s="14"/>
    </row>
    <row r="7" spans="1:27" x14ac:dyDescent="0.25">
      <c r="G7" s="5" t="s">
        <v>12</v>
      </c>
      <c r="H7" s="7">
        <f>65.25+N11*3.75</f>
        <v>72.75</v>
      </c>
      <c r="I7" s="5" t="s">
        <v>10</v>
      </c>
      <c r="J7" s="5" t="s">
        <v>2</v>
      </c>
      <c r="K7" s="5" t="s">
        <v>3</v>
      </c>
      <c r="L7" s="5" t="s">
        <v>4</v>
      </c>
      <c r="M7" s="5" t="s">
        <v>5</v>
      </c>
      <c r="N7" s="5" t="s">
        <v>20</v>
      </c>
      <c r="O7" s="5" t="s">
        <v>14</v>
      </c>
      <c r="P7" s="5" t="s">
        <v>9</v>
      </c>
      <c r="R7" s="5" t="s">
        <v>12</v>
      </c>
      <c r="S7" s="7">
        <f>65.25+Y11*3.75</f>
        <v>65.25</v>
      </c>
      <c r="T7" s="5" t="s">
        <v>10</v>
      </c>
      <c r="U7" s="5" t="s">
        <v>2</v>
      </c>
      <c r="V7" s="5" t="s">
        <v>3</v>
      </c>
      <c r="W7" s="5" t="s">
        <v>4</v>
      </c>
      <c r="X7" s="5" t="s">
        <v>5</v>
      </c>
      <c r="Y7" s="5" t="s">
        <v>6</v>
      </c>
      <c r="Z7" s="5" t="s">
        <v>9</v>
      </c>
      <c r="AA7" s="5" t="s">
        <v>14</v>
      </c>
    </row>
    <row r="8" spans="1:27" ht="15.75" thickBot="1" x14ac:dyDescent="0.3">
      <c r="G8" s="6"/>
      <c r="H8" s="17"/>
      <c r="I8" s="6"/>
      <c r="J8" s="6"/>
      <c r="K8" s="6"/>
      <c r="L8" s="6"/>
      <c r="M8" s="6"/>
      <c r="N8" s="6"/>
      <c r="O8" s="6"/>
      <c r="P8" s="6"/>
      <c r="R8" s="6"/>
      <c r="S8" s="17"/>
      <c r="T8" s="6"/>
      <c r="U8" s="6"/>
      <c r="V8" s="6"/>
      <c r="W8" s="6"/>
      <c r="X8" s="6"/>
      <c r="Y8" s="6"/>
      <c r="Z8" s="6"/>
      <c r="AA8" s="6"/>
    </row>
    <row r="9" spans="1:27" x14ac:dyDescent="0.25">
      <c r="G9" s="5" t="s">
        <v>11</v>
      </c>
      <c r="H9" s="15">
        <v>25</v>
      </c>
      <c r="I9" s="7">
        <f>H7+H9</f>
        <v>97.75</v>
      </c>
      <c r="J9" s="7">
        <f>IF(J11,IF(J13, 50, 35) + IF(J13,50, 30) *J11 + IF(J13,1.2, 0.8)*H9,0)</f>
        <v>130</v>
      </c>
      <c r="K9" s="7">
        <f>IF(K11,(-5+10*K11+0.75*I9) *IF(K13,3, 2),0)</f>
        <v>156.625</v>
      </c>
      <c r="L9" s="7">
        <f>IF(L11, 10 + 30 * L11 + 0.9 * H9 + IF(L13, 25, 10) + IF(L13, 45, 30) * L11 + IF(L13, 1.35, 0.9)*H9, 0)</f>
        <v>0</v>
      </c>
      <c r="M9" s="7" t="str">
        <f>IF(M11, _xlfn.CONCAT(250*M11, " HP"), _xlfn.CONCAT("Yok"))</f>
        <v>Yok</v>
      </c>
      <c r="N9" s="7">
        <f>I9*I11 + J9+K9+L9</f>
        <v>286.625</v>
      </c>
      <c r="O9" s="7">
        <f>IF(P15&gt;=0,(100/(100+P15)*N9),(2 - 100/(100 -(P15))) * N9)</f>
        <v>143.3125</v>
      </c>
      <c r="P9" s="7">
        <f>O9+M13+N13</f>
        <v>283.3125</v>
      </c>
      <c r="R9" s="5" t="s">
        <v>11</v>
      </c>
      <c r="S9" s="15">
        <v>0</v>
      </c>
      <c r="T9" s="7">
        <f>S7+S9</f>
        <v>65.25</v>
      </c>
      <c r="U9" s="7">
        <f>10 + 20 *U11</f>
        <v>10</v>
      </c>
      <c r="V9" s="7" t="str">
        <f>_xlfn.CONCAT("%", (35 + 12* V11))</f>
        <v>%35</v>
      </c>
      <c r="W9" s="7">
        <f>IF(W11, 10 + 30 * W11 + 0.9 * S9 + IF(W13, 25, 10) + IF(W13, 45, 30) * W11 + IF(W13, 1.35, 0.9)*S9, 0)</f>
        <v>0</v>
      </c>
      <c r="X9" s="7" t="str">
        <f>IF(X11, _xlfn.CONCAT(250*X11, " HP"), _xlfn.CONCAT("Yok"))</f>
        <v>Yok</v>
      </c>
      <c r="Y9" s="7">
        <f>T9*T11 + U9+V9+W9</f>
        <v>75.599999999999994</v>
      </c>
      <c r="Z9" s="7">
        <f>Y9+X13+Y13</f>
        <v>155.6</v>
      </c>
      <c r="AA9" s="7">
        <f>IF(AA15&gt;=0,(100/(100+AA15)*Y9),(2 - 100/(100 -(AA15))) * Y9)</f>
        <v>50.399999999999991</v>
      </c>
    </row>
    <row r="10" spans="1:27" ht="15.75" thickBot="1" x14ac:dyDescent="0.3">
      <c r="G10" s="6"/>
      <c r="H10" s="16"/>
      <c r="I10" s="17"/>
      <c r="J10" s="17"/>
      <c r="K10" s="17"/>
      <c r="L10" s="17"/>
      <c r="M10" s="17"/>
      <c r="N10" s="17"/>
      <c r="O10" s="8"/>
      <c r="P10" s="8"/>
      <c r="R10" s="6"/>
      <c r="S10" s="16"/>
      <c r="T10" s="17"/>
      <c r="U10" s="17"/>
      <c r="V10" s="17"/>
      <c r="W10" s="17"/>
      <c r="X10" s="17"/>
      <c r="Y10" s="17"/>
      <c r="Z10" s="8"/>
      <c r="AA10" s="8"/>
    </row>
    <row r="11" spans="1:27" ht="15.75" thickBot="1" x14ac:dyDescent="0.3">
      <c r="H11" s="5" t="s">
        <v>0</v>
      </c>
      <c r="I11" s="15">
        <v>0</v>
      </c>
      <c r="J11" s="15">
        <v>1</v>
      </c>
      <c r="K11" s="15">
        <v>1</v>
      </c>
      <c r="L11" s="15">
        <v>0</v>
      </c>
      <c r="M11" s="15">
        <v>0</v>
      </c>
      <c r="N11" s="18">
        <f>J11+K11+L11+M11</f>
        <v>2</v>
      </c>
      <c r="O11" s="20" t="s">
        <v>13</v>
      </c>
      <c r="P11" s="21">
        <v>100</v>
      </c>
      <c r="S11" s="5" t="s">
        <v>0</v>
      </c>
      <c r="T11" s="15">
        <v>1</v>
      </c>
      <c r="U11" s="15">
        <v>0</v>
      </c>
      <c r="V11" s="15">
        <v>0</v>
      </c>
      <c r="W11" s="15">
        <v>0</v>
      </c>
      <c r="X11" s="15">
        <v>0</v>
      </c>
      <c r="Y11" s="18">
        <f>U11+V11+W11+X11</f>
        <v>0</v>
      </c>
      <c r="Z11" s="20" t="s">
        <v>13</v>
      </c>
      <c r="AA11" s="21">
        <v>50</v>
      </c>
    </row>
    <row r="12" spans="1:27" ht="15.75" thickBot="1" x14ac:dyDescent="0.3">
      <c r="H12" s="6"/>
      <c r="I12" s="16"/>
      <c r="J12" s="16"/>
      <c r="K12" s="16"/>
      <c r="L12" s="16"/>
      <c r="M12" s="16"/>
      <c r="N12" s="19"/>
      <c r="O12" s="20"/>
      <c r="P12" s="21"/>
      <c r="S12" s="6"/>
      <c r="T12" s="16"/>
      <c r="U12" s="16"/>
      <c r="V12" s="16"/>
      <c r="W12" s="16"/>
      <c r="X12" s="16"/>
      <c r="Y12" s="19"/>
      <c r="Z12" s="20"/>
      <c r="AA12" s="21"/>
    </row>
    <row r="13" spans="1:27" ht="15.75" thickBot="1" x14ac:dyDescent="0.3">
      <c r="I13" s="5" t="s">
        <v>1</v>
      </c>
      <c r="J13" s="25">
        <v>1</v>
      </c>
      <c r="K13" s="25">
        <v>0</v>
      </c>
      <c r="L13" s="25">
        <v>0</v>
      </c>
      <c r="M13" s="7">
        <f>50 + 20 *N11</f>
        <v>90</v>
      </c>
      <c r="N13" s="18">
        <f>30 + 10 *N11</f>
        <v>50</v>
      </c>
      <c r="O13" s="20" t="s">
        <v>15</v>
      </c>
      <c r="P13" s="21">
        <v>0</v>
      </c>
      <c r="T13" s="5" t="s">
        <v>18</v>
      </c>
      <c r="U13" s="27">
        <v>0</v>
      </c>
      <c r="V13" s="25">
        <v>1</v>
      </c>
      <c r="W13" s="25">
        <v>0</v>
      </c>
      <c r="X13" s="7">
        <f>50 + 20 *Y11</f>
        <v>50</v>
      </c>
      <c r="Y13" s="18">
        <f>30 + 10 *Y11</f>
        <v>30</v>
      </c>
      <c r="Z13" s="20" t="s">
        <v>15</v>
      </c>
      <c r="AA13" s="21">
        <v>0</v>
      </c>
    </row>
    <row r="14" spans="1:27" ht="15.75" thickBot="1" x14ac:dyDescent="0.3">
      <c r="I14" s="6"/>
      <c r="J14" s="26"/>
      <c r="K14" s="26"/>
      <c r="L14" s="26"/>
      <c r="M14" s="17"/>
      <c r="N14" s="19"/>
      <c r="O14" s="20"/>
      <c r="P14" s="21"/>
      <c r="T14" s="6"/>
      <c r="U14" s="28"/>
      <c r="V14" s="26"/>
      <c r="W14" s="26"/>
      <c r="X14" s="17"/>
      <c r="Y14" s="19"/>
      <c r="Z14" s="20"/>
      <c r="AA14" s="21"/>
    </row>
    <row r="15" spans="1:27" ht="15.75" thickBot="1" x14ac:dyDescent="0.3">
      <c r="M15" s="5" t="s">
        <v>8</v>
      </c>
      <c r="N15" s="23" t="s">
        <v>16</v>
      </c>
      <c r="O15" s="20" t="s">
        <v>17</v>
      </c>
      <c r="P15" s="22">
        <f>P11-P13</f>
        <v>100</v>
      </c>
      <c r="X15" s="5" t="s">
        <v>8</v>
      </c>
      <c r="Y15" s="23" t="s">
        <v>16</v>
      </c>
      <c r="Z15" s="20" t="s">
        <v>17</v>
      </c>
      <c r="AA15" s="22">
        <f>AA11-AA13</f>
        <v>50</v>
      </c>
    </row>
    <row r="16" spans="1:27" ht="15.75" thickBot="1" x14ac:dyDescent="0.3">
      <c r="M16" s="6"/>
      <c r="N16" s="24"/>
      <c r="O16" s="20"/>
      <c r="P16" s="22"/>
      <c r="X16" s="6"/>
      <c r="Y16" s="24"/>
      <c r="Z16" s="20"/>
      <c r="AA16" s="22"/>
    </row>
    <row r="18" spans="7:26" ht="15.75" thickBot="1" x14ac:dyDescent="0.3"/>
    <row r="19" spans="7:26" x14ac:dyDescent="0.25">
      <c r="G19" s="9" t="s">
        <v>25</v>
      </c>
      <c r="H19" s="10"/>
      <c r="I19" s="10"/>
      <c r="J19" s="10"/>
      <c r="K19" s="10"/>
      <c r="L19" s="10"/>
      <c r="M19" s="10"/>
      <c r="N19" s="10"/>
      <c r="O19" s="10"/>
      <c r="P19" s="11"/>
    </row>
    <row r="20" spans="7:26" ht="15.75" thickBot="1" x14ac:dyDescent="0.3">
      <c r="G20" s="12"/>
      <c r="H20" s="13"/>
      <c r="I20" s="13"/>
      <c r="J20" s="13"/>
      <c r="K20" s="13"/>
      <c r="L20" s="13"/>
      <c r="M20" s="13"/>
      <c r="N20" s="13"/>
      <c r="O20" s="13"/>
      <c r="P20" s="14"/>
    </row>
    <row r="21" spans="7:26" x14ac:dyDescent="0.25">
      <c r="G21" s="5" t="s">
        <v>12</v>
      </c>
      <c r="H21" s="7">
        <f>65.25+N25*3.75</f>
        <v>69</v>
      </c>
      <c r="I21" s="5" t="s">
        <v>10</v>
      </c>
      <c r="J21" s="5" t="s">
        <v>2</v>
      </c>
      <c r="K21" s="5" t="s">
        <v>3</v>
      </c>
      <c r="L21" s="5" t="s">
        <v>4</v>
      </c>
      <c r="M21" s="5" t="s">
        <v>5</v>
      </c>
      <c r="N21" s="5" t="s">
        <v>6</v>
      </c>
      <c r="O21" s="5" t="s">
        <v>9</v>
      </c>
      <c r="P21" s="5" t="s">
        <v>14</v>
      </c>
    </row>
    <row r="22" spans="7:26" ht="15.75" thickBot="1" x14ac:dyDescent="0.3">
      <c r="G22" s="6"/>
      <c r="H22" s="17"/>
      <c r="I22" s="6"/>
      <c r="J22" s="6"/>
      <c r="K22" s="6"/>
      <c r="L22" s="6"/>
      <c r="M22" s="6"/>
      <c r="N22" s="6"/>
      <c r="O22" s="6"/>
      <c r="P22" s="6"/>
    </row>
    <row r="23" spans="7:26" x14ac:dyDescent="0.25">
      <c r="G23" s="5" t="s">
        <v>11</v>
      </c>
      <c r="H23" s="15">
        <v>0</v>
      </c>
      <c r="I23" s="7">
        <f>H21+H23</f>
        <v>69</v>
      </c>
      <c r="J23" s="7">
        <f>IF(J25, 30 + 25 *J25 + 0.8 *H23, 0)</f>
        <v>55</v>
      </c>
      <c r="K23" s="7">
        <f xml:space="preserve"> IF(K25, 2.5 + 1.5 * K25 + (1 * H23 / 35), 0)</f>
        <v>0</v>
      </c>
      <c r="L23" s="7">
        <f xml:space="preserve"> IF(L25,- 10 + 20 * L25 + 1.1 * I23,0)</f>
        <v>0</v>
      </c>
      <c r="M23" s="7">
        <f xml:space="preserve"> IF(M25, -25 + 175 * M25 + 1.1 * H23, 0)</f>
        <v>0</v>
      </c>
      <c r="N23" s="7">
        <f>J23+L23 * L27 + M23</f>
        <v>55</v>
      </c>
      <c r="O23" s="7">
        <f>N23+M27+N27</f>
        <v>165</v>
      </c>
      <c r="P23" s="7">
        <f>IF(P29&gt;=0,(100/(100+P29)*N23),(2 - 100/(100 -(P29))) * N23)</f>
        <v>42.307692307692307</v>
      </c>
    </row>
    <row r="24" spans="7:26" ht="15.75" thickBot="1" x14ac:dyDescent="0.3">
      <c r="G24" s="6"/>
      <c r="H24" s="16"/>
      <c r="I24" s="17"/>
      <c r="J24" s="17"/>
      <c r="K24" s="17"/>
      <c r="L24" s="17"/>
      <c r="M24" s="17"/>
      <c r="N24" s="17"/>
      <c r="O24" s="8"/>
      <c r="P24" s="8"/>
    </row>
    <row r="25" spans="7:26" ht="15.75" thickBot="1" x14ac:dyDescent="0.3">
      <c r="H25" s="5" t="s">
        <v>0</v>
      </c>
      <c r="I25" s="15">
        <v>1</v>
      </c>
      <c r="J25" s="15">
        <v>1</v>
      </c>
      <c r="K25" s="15">
        <v>0</v>
      </c>
      <c r="L25" s="15">
        <v>0</v>
      </c>
      <c r="M25" s="15">
        <v>0</v>
      </c>
      <c r="N25" s="18">
        <f>J25+K25+L25+M25</f>
        <v>1</v>
      </c>
      <c r="O25" s="20" t="s">
        <v>13</v>
      </c>
      <c r="P25" s="21">
        <v>50</v>
      </c>
    </row>
    <row r="26" spans="7:26" ht="15.75" thickBot="1" x14ac:dyDescent="0.3">
      <c r="H26" s="6"/>
      <c r="I26" s="16"/>
      <c r="J26" s="16"/>
      <c r="K26" s="16"/>
      <c r="L26" s="16"/>
      <c r="M26" s="16"/>
      <c r="N26" s="19"/>
      <c r="O26" s="20"/>
      <c r="P26" s="21"/>
    </row>
    <row r="27" spans="7:26" ht="15.75" thickBot="1" x14ac:dyDescent="0.3">
      <c r="I27" s="5" t="s">
        <v>19</v>
      </c>
      <c r="J27" s="25">
        <v>0</v>
      </c>
      <c r="K27" s="29">
        <v>1</v>
      </c>
      <c r="L27" s="29">
        <v>2</v>
      </c>
      <c r="M27" s="7">
        <f>50 + 20 *N25</f>
        <v>70</v>
      </c>
      <c r="N27" s="18">
        <f>30 + 10 *N25</f>
        <v>40</v>
      </c>
      <c r="O27" s="20" t="s">
        <v>15</v>
      </c>
      <c r="P27" s="21">
        <v>20</v>
      </c>
      <c r="X27" s="31" t="s">
        <v>26</v>
      </c>
      <c r="Y27" s="31"/>
      <c r="Z27" s="31"/>
    </row>
    <row r="28" spans="7:26" ht="15.75" thickBot="1" x14ac:dyDescent="0.3">
      <c r="I28" s="6"/>
      <c r="J28" s="26"/>
      <c r="K28" s="30"/>
      <c r="L28" s="30"/>
      <c r="M28" s="17"/>
      <c r="N28" s="19"/>
      <c r="O28" s="20"/>
      <c r="P28" s="21"/>
      <c r="X28" s="31"/>
      <c r="Y28" s="31"/>
      <c r="Z28" s="31"/>
    </row>
    <row r="29" spans="7:26" ht="15.75" thickBot="1" x14ac:dyDescent="0.3">
      <c r="M29" s="5" t="s">
        <v>8</v>
      </c>
      <c r="N29" s="23" t="s">
        <v>16</v>
      </c>
      <c r="O29" s="20" t="s">
        <v>17</v>
      </c>
      <c r="P29" s="22">
        <f>P25-P27</f>
        <v>30</v>
      </c>
      <c r="X29" s="31"/>
      <c r="Y29" s="31"/>
      <c r="Z29" s="31"/>
    </row>
    <row r="30" spans="7:26" ht="15.75" thickBot="1" x14ac:dyDescent="0.3">
      <c r="M30" s="6"/>
      <c r="N30" s="24"/>
      <c r="O30" s="20"/>
      <c r="P30" s="22"/>
    </row>
    <row r="34" spans="5:16" ht="18.75" customHeight="1" x14ac:dyDescent="0.25"/>
    <row r="35" spans="5:16" ht="18.75" customHeight="1" x14ac:dyDescent="0.25">
      <c r="E35" s="4" t="s">
        <v>21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</row>
    <row r="36" spans="5:16" ht="18.75" customHeight="1" x14ac:dyDescent="0.25">
      <c r="E36" s="4" t="s">
        <v>22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</row>
    <row r="37" spans="5:16" ht="18.75" x14ac:dyDescent="0.25">
      <c r="E37" s="4" t="s">
        <v>23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</row>
  </sheetData>
  <mergeCells count="130">
    <mergeCell ref="X27:Z29"/>
    <mergeCell ref="O27:O28"/>
    <mergeCell ref="P27:P28"/>
    <mergeCell ref="M29:M30"/>
    <mergeCell ref="N29:N30"/>
    <mergeCell ref="O29:O30"/>
    <mergeCell ref="P29:P30"/>
    <mergeCell ref="I27:I28"/>
    <mergeCell ref="J27:J28"/>
    <mergeCell ref="K27:K28"/>
    <mergeCell ref="L27:L28"/>
    <mergeCell ref="M27:M28"/>
    <mergeCell ref="N27:N28"/>
    <mergeCell ref="P23:P24"/>
    <mergeCell ref="H25:H26"/>
    <mergeCell ref="I25:I26"/>
    <mergeCell ref="J25:J26"/>
    <mergeCell ref="K25:K26"/>
    <mergeCell ref="L25:L26"/>
    <mergeCell ref="M25:M26"/>
    <mergeCell ref="N25:N26"/>
    <mergeCell ref="O25:O26"/>
    <mergeCell ref="P25:P26"/>
    <mergeCell ref="G23:G24"/>
    <mergeCell ref="H23:H24"/>
    <mergeCell ref="I23:I24"/>
    <mergeCell ref="J23:J24"/>
    <mergeCell ref="K23:K24"/>
    <mergeCell ref="L23:L24"/>
    <mergeCell ref="M23:M24"/>
    <mergeCell ref="N23:N24"/>
    <mergeCell ref="O23:O24"/>
    <mergeCell ref="G19:P20"/>
    <mergeCell ref="G21:G22"/>
    <mergeCell ref="H21:H22"/>
    <mergeCell ref="I21:I22"/>
    <mergeCell ref="J21:J22"/>
    <mergeCell ref="K21:K22"/>
    <mergeCell ref="L21:L22"/>
    <mergeCell ref="M21:M22"/>
    <mergeCell ref="N21:N22"/>
    <mergeCell ref="O21:O22"/>
    <mergeCell ref="P21:P22"/>
    <mergeCell ref="Z13:Z14"/>
    <mergeCell ref="AA13:AA14"/>
    <mergeCell ref="X15:X16"/>
    <mergeCell ref="Y15:Y16"/>
    <mergeCell ref="Z15:Z16"/>
    <mergeCell ref="AA15:AA16"/>
    <mergeCell ref="T13:T14"/>
    <mergeCell ref="U13:U14"/>
    <mergeCell ref="V13:V14"/>
    <mergeCell ref="W13:W14"/>
    <mergeCell ref="X13:X14"/>
    <mergeCell ref="Y13:Y14"/>
    <mergeCell ref="AA9:AA10"/>
    <mergeCell ref="S11:S12"/>
    <mergeCell ref="T11:T12"/>
    <mergeCell ref="U11:U12"/>
    <mergeCell ref="V11:V12"/>
    <mergeCell ref="W11:W12"/>
    <mergeCell ref="X11:X12"/>
    <mergeCell ref="Y11:Y12"/>
    <mergeCell ref="Z11:Z12"/>
    <mergeCell ref="AA11:AA12"/>
    <mergeCell ref="R9:R10"/>
    <mergeCell ref="S9:S10"/>
    <mergeCell ref="T9:T10"/>
    <mergeCell ref="U9:U10"/>
    <mergeCell ref="V9:V10"/>
    <mergeCell ref="W9:W10"/>
    <mergeCell ref="X9:X10"/>
    <mergeCell ref="Y9:Y10"/>
    <mergeCell ref="Z9:Z10"/>
    <mergeCell ref="R5:AA6"/>
    <mergeCell ref="R7:R8"/>
    <mergeCell ref="S7:S8"/>
    <mergeCell ref="T7:T8"/>
    <mergeCell ref="U7:U8"/>
    <mergeCell ref="V7:V8"/>
    <mergeCell ref="W7:W8"/>
    <mergeCell ref="X7:X8"/>
    <mergeCell ref="Y7:Y8"/>
    <mergeCell ref="Z7:Z8"/>
    <mergeCell ref="AA7:AA8"/>
    <mergeCell ref="G9:G10"/>
    <mergeCell ref="P11:P12"/>
    <mergeCell ref="J13:J14"/>
    <mergeCell ref="K13:K14"/>
    <mergeCell ref="L13:L14"/>
    <mergeCell ref="M13:M14"/>
    <mergeCell ref="H11:H12"/>
    <mergeCell ref="J11:J12"/>
    <mergeCell ref="K11:K12"/>
    <mergeCell ref="L11:L12"/>
    <mergeCell ref="M11:M12"/>
    <mergeCell ref="M7:M8"/>
    <mergeCell ref="N7:N8"/>
    <mergeCell ref="N11:N12"/>
    <mergeCell ref="O13:O14"/>
    <mergeCell ref="P13:P14"/>
    <mergeCell ref="O15:O16"/>
    <mergeCell ref="P15:P16"/>
    <mergeCell ref="O11:O12"/>
    <mergeCell ref="N15:N16"/>
    <mergeCell ref="N13:N14"/>
    <mergeCell ref="E35:P35"/>
    <mergeCell ref="E36:P36"/>
    <mergeCell ref="E37:P37"/>
    <mergeCell ref="O7:O8"/>
    <mergeCell ref="O9:O10"/>
    <mergeCell ref="G5:P6"/>
    <mergeCell ref="M15:M16"/>
    <mergeCell ref="P7:P8"/>
    <mergeCell ref="P9:P10"/>
    <mergeCell ref="H9:H10"/>
    <mergeCell ref="I7:I8"/>
    <mergeCell ref="I13:I14"/>
    <mergeCell ref="I9:I10"/>
    <mergeCell ref="H7:H8"/>
    <mergeCell ref="G7:G8"/>
    <mergeCell ref="I11:I12"/>
    <mergeCell ref="J9:J10"/>
    <mergeCell ref="K9:K10"/>
    <mergeCell ref="L9:L10"/>
    <mergeCell ref="M9:M10"/>
    <mergeCell ref="N9:N10"/>
    <mergeCell ref="J7:J8"/>
    <mergeCell ref="K7:K8"/>
    <mergeCell ref="L7:L8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2019-05-13T15:55:42Z</dcterms:modified>
</cp:coreProperties>
</file>